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essions" sheetId="2" r:id="rId6"/>
    <sheet state="visible" name="Add new file" sheetId="3" r:id="rId7"/>
    <sheet state="visible" name="Register" sheetId="4" r:id="rId8"/>
  </sheets>
  <definedNames>
    <definedName hidden="1" localSheetId="3" name="_xlnm._FilterDatabase">Register!$A$1:$N$10</definedName>
  </definedNames>
  <calcPr/>
</workbook>
</file>

<file path=xl/sharedStrings.xml><?xml version="1.0" encoding="utf-8"?>
<sst xmlns="http://schemas.openxmlformats.org/spreadsheetml/2006/main" count="267" uniqueCount="136">
  <si>
    <t>Timestamp</t>
  </si>
  <si>
    <t>Email Address</t>
  </si>
  <si>
    <t>Upload to secure NPE drive +</t>
  </si>
  <si>
    <t>Resource Category</t>
  </si>
  <si>
    <t>NPE Domain / Sub-topic</t>
  </si>
  <si>
    <t>Content Type</t>
  </si>
  <si>
    <t>Modality</t>
  </si>
  <si>
    <t>Population</t>
  </si>
  <si>
    <t>Source</t>
  </si>
  <si>
    <t>Notes</t>
  </si>
  <si>
    <t>Title</t>
  </si>
  <si>
    <t>connorconkeymorrison@gmail.com</t>
  </si>
  <si>
    <t>https://drive.google.com/open?id=1l2a4vRcVyxEALA5FtdUj2qMNhVqIQ4FI</t>
  </si>
  <si>
    <t>Clinical Practice</t>
  </si>
  <si>
    <t>Psychoeducation material</t>
  </si>
  <si>
    <t>ACT</t>
  </si>
  <si>
    <t>Child</t>
  </si>
  <si>
    <t>Book</t>
  </si>
  <si>
    <t>ACT for Treating Children</t>
  </si>
  <si>
    <t>https://drive.google.com/open?id=1BQkL0pOcUhLXKx3GcvdrxeiM-mZiH6EI</t>
  </si>
  <si>
    <t>Reading list text / chapter</t>
  </si>
  <si>
    <t>Adult</t>
  </si>
  <si>
    <t>Journal</t>
  </si>
  <si>
    <t>Efficacy of a parent-based treatment for children and adolescents with 
obsessive-compulsive disorder (protocol)</t>
  </si>
  <si>
    <t>Parent-based treatment for child OCD</t>
  </si>
  <si>
    <t>https://drive.google.com/open?id=1NWrOYTnfIHkhiJtrpqNN7ztR2VGE6spL</t>
  </si>
  <si>
    <t>Peer-created</t>
  </si>
  <si>
    <t>Tips for Managing ADHD in the Classroom</t>
  </si>
  <si>
    <t>https://drive.google.com/open?id=1wqa0CMyJXexVbc_V-sbQv-f6uTwzN9pz</t>
  </si>
  <si>
    <t>Exam Prep</t>
  </si>
  <si>
    <t>Ethics: Confidentiality &amp; privacy</t>
  </si>
  <si>
    <t>Case vignette</t>
  </si>
  <si>
    <t>Ethics - Case vignette</t>
  </si>
  <si>
    <t>https://drive.google.com/open?id=1B7O5D1c4bafvmwa04ZA4lC3aV2e90b5t</t>
  </si>
  <si>
    <t>Family / Couple</t>
  </si>
  <si>
    <t>Useful parent facing resource for working with parents going through separation</t>
  </si>
  <si>
    <t>Helping parents help children</t>
  </si>
  <si>
    <t>https://drive.google.com/open?id=1u6lfb1gFzSlD-ngxoftxrXkVAbB_MhWl</t>
  </si>
  <si>
    <t>Textbook</t>
  </si>
  <si>
    <t>The Russ Harris classic text</t>
  </si>
  <si>
    <t>ACT Made Simple</t>
  </si>
  <si>
    <t>https://drive.google.com/open?id=10MeV-pmNQgaivg1Mz9ZISghDGoGxoGUj</t>
  </si>
  <si>
    <t>Assessment: Cognitive assessment</t>
  </si>
  <si>
    <t>Tutorial</t>
  </si>
  <si>
    <t>Wechsler Adult Intelligence Scale - slides from APC6086 Clinical Assessment, 2025</t>
  </si>
  <si>
    <t>WAIS-IV - scoring, reporting, interpreting</t>
  </si>
  <si>
    <t>https://drive.google.com/open?id=12t0AdbeqZCdkp5OTEwJSWcGBFsmy0ZQc</t>
  </si>
  <si>
    <t>Ethics: APS Code of Ethics</t>
  </si>
  <si>
    <t>Worksheet</t>
  </si>
  <si>
    <t>Fourth year ethics exam - contains vignettes</t>
  </si>
  <si>
    <t>Ethics Exam (Honours level)</t>
  </si>
  <si>
    <t>vishvrangi@gmail.com</t>
  </si>
  <si>
    <t>https://drive.google.com/open?id=1vxLNiOqRzRsl1iv0aDuMrGj2WLe6TwCE</t>
  </si>
  <si>
    <t>Other</t>
  </si>
  <si>
    <t>APS document</t>
  </si>
  <si>
    <t>Nine Tips for NPE exam - APS</t>
  </si>
  <si>
    <t>Type</t>
  </si>
  <si>
    <t>Session#</t>
  </si>
  <si>
    <t>Date</t>
  </si>
  <si>
    <t>Time</t>
  </si>
  <si>
    <t>Topic</t>
  </si>
  <si>
    <t>Meet Link</t>
  </si>
  <si>
    <t>Created By</t>
  </si>
  <si>
    <t>Scheduled</t>
  </si>
  <si>
    <t>Week 1</t>
  </si>
  <si>
    <t>Group planning &amp; goals</t>
  </si>
  <si>
    <t>https://meet.google.com/wvd-oirg-soz</t>
  </si>
  <si>
    <t>Connor</t>
  </si>
  <si>
    <t>Week 2</t>
  </si>
  <si>
    <t>Ethics</t>
  </si>
  <si>
    <t>test</t>
  </si>
  <si>
    <t>https://meet.google.com/gxi-ghmc-qvp</t>
  </si>
  <si>
    <t>Week 3</t>
  </si>
  <si>
    <t>https://meet.google.com/dfd-cfbp-fhe</t>
  </si>
  <si>
    <t>Week 4</t>
  </si>
  <si>
    <t>https://meet.google.com/ndi-jakk-imz</t>
  </si>
  <si>
    <t>Week 5</t>
  </si>
  <si>
    <t>https://meet.google.com/xpu-auef-uxn</t>
  </si>
  <si>
    <t>Week 6</t>
  </si>
  <si>
    <t>TBD</t>
  </si>
  <si>
    <t>https://meet.google.com/kaq-jvsj-qpu</t>
  </si>
  <si>
    <t>Week 7</t>
  </si>
  <si>
    <t>https://meet.google.com/ybj-wizd-skv</t>
  </si>
  <si>
    <t>Week 8</t>
  </si>
  <si>
    <t>https://meet.google.com/cji-ebye-wuj</t>
  </si>
  <si>
    <t>Week 9</t>
  </si>
  <si>
    <t>https://meet.google.com/tqh-nyyb-qst</t>
  </si>
  <si>
    <t>Week 10</t>
  </si>
  <si>
    <t>https://meet.google.com/ouw-bfai-gwx</t>
  </si>
  <si>
    <t>Week 11</t>
  </si>
  <si>
    <t>https://meet.google.com/xuz-xmve-abi</t>
  </si>
  <si>
    <t>Week 12</t>
  </si>
  <si>
    <t>https://meet.google.com/ejf-sdya-bxv</t>
  </si>
  <si>
    <t>Exam</t>
  </si>
  <si>
    <t>NPE May</t>
  </si>
  <si>
    <t>NPE Exam Window opens</t>
  </si>
  <si>
    <t>Window closes 22 May 2026. Registration: 10 Mar – 17 Apr.</t>
  </si>
  <si>
    <t>https://www.psychologyboard.gov.au/Registration/National-psychology-exam.aspx</t>
  </si>
  <si>
    <t>NPE August</t>
  </si>
  <si>
    <t>Window closes 21 Aug 2026. Registration: 9 Jun – 17 Jul.</t>
  </si>
  <si>
    <t>NPE November</t>
  </si>
  <si>
    <t>Window closes 27 Nov 2026. Registration: 8 Sep – 16 Oct.</t>
  </si>
  <si>
    <t>Add a new file to the Register here</t>
  </si>
  <si>
    <t>Offline</t>
  </si>
  <si>
    <t>Submitted By</t>
  </si>
  <si>
    <t>NPE Domain</t>
  </si>
  <si>
    <t>NPE Sub-topic</t>
  </si>
  <si>
    <t>File Name</t>
  </si>
  <si>
    <t>File Type</t>
  </si>
  <si>
    <t>File ID</t>
  </si>
  <si>
    <t>View Link</t>
  </si>
  <si>
    <t>Download Link</t>
  </si>
  <si>
    <t>ACT for Treating Children- Tamar Black - Connor Conkey-Morrison.pdf</t>
  </si>
  <si>
    <t>PDF</t>
  </si>
  <si>
    <t>1l2a4vRcVyxEALA5FtdUj2qMNhVqIQ4FI</t>
  </si>
  <si>
    <t>1-s2.0-S2451865425000304-main - Connor Conkey-Morrison.pdf</t>
  </si>
  <si>
    <t>1BQkL0pOcUhLXKx3GcvdrxeiM-mZiH6EI</t>
  </si>
  <si>
    <t>tipsmanagingadhdinclass MCRI 1.pdf</t>
  </si>
  <si>
    <t>1NWrOYTnfIHkhiJtrpqNN7ztR2VGE6spL</t>
  </si>
  <si>
    <t>Confidentiality &amp; privacy</t>
  </si>
  <si>
    <t>Ethical dilemmas.pdf</t>
  </si>
  <si>
    <t>1wqa0CMyJXexVbc_V-sbQv-f6uTwzN9pz</t>
  </si>
  <si>
    <t>Separation and Divorce - Helping parents to help children.pdf</t>
  </si>
  <si>
    <t>1B7O5D1c4bafvmwa04ZA4lC3aV2e90b5t</t>
  </si>
  <si>
    <t>ACT_Made_Simple_Dr._Russ_Harris_preface.pdf</t>
  </si>
  <si>
    <t>1u6lfb1gFzSlD-ngxoftxrXkVAbB_MhWl</t>
  </si>
  <si>
    <t>Assessment</t>
  </si>
  <si>
    <t>Cognitive assessment</t>
  </si>
  <si>
    <t>APC6086 Session 7 Attention 2025.pdf</t>
  </si>
  <si>
    <t>10MeV-pmNQgaivg1Mz9ZISghDGoGxoGUj</t>
  </si>
  <si>
    <t>APS Code of Ethics</t>
  </si>
  <si>
    <t>honours ethics exam 2025.docx</t>
  </si>
  <si>
    <t>DOCX</t>
  </si>
  <si>
    <t>12t0AdbeqZCdkp5OTEwJSWcGBFsmy0ZQc</t>
  </si>
  <si>
    <t>Nine tips to help you prepare for the National Psychology Exam _ APS.pdf</t>
  </si>
  <si>
    <t>1vxLNiOqRzRsl1iv0aDuMrGj2WLe6TwCE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</si>
</sst>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dd/mm/yyyy"/>
    <numFmt numFmtId="166" formatCode="hh:mm"/>
    <numFmt numFmtId="167" formatCode="dd/mm/yyyy hh:mm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b/>
      <sz val="11.0"/>
      <color rgb="FFFFFFFF"/>
      <name val="Arial"/>
      <scheme val="minor"/>
    </font>
    <font>
      <u/>
      <color rgb="FF0000FF"/>
    </font>
    <font>
      <u/>
      <sz val="20.0"/>
      <color rgb="FFF3F3F3"/>
    </font>
    <font>
      <color rgb="FFF8F9FA"/>
      <name val="Arial"/>
      <scheme val="minor"/>
    </font>
    <font>
      <u/>
      <color rgb="FF0000FF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0F2340"/>
        <bgColor rgb="FF0F2340"/>
      </patternFill>
    </fill>
    <fill>
      <patternFill patternType="solid">
        <fgColor theme="1"/>
        <bgColor theme="1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FDE8E8"/>
        <bgColor rgb="FFFDE8E8"/>
      </patternFill>
    </fill>
    <fill>
      <patternFill patternType="solid">
        <fgColor rgb="FFE8F4FD"/>
        <bgColor rgb="FFE8F4FD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3" fontId="1" numFmtId="0" xfId="0" applyFill="1" applyFont="1"/>
    <xf borderId="0" fillId="3" fontId="5" numFmtId="0" xfId="0" applyAlignment="1" applyFont="1">
      <alignment readingOrder="0"/>
    </xf>
    <xf borderId="0" fillId="3" fontId="6" numFmtId="0" xfId="0" applyAlignment="1" applyFont="1">
      <alignment horizontal="center" readingOrder="0"/>
    </xf>
    <xf borderId="0" fillId="4" fontId="1" numFmtId="167" xfId="0" applyAlignment="1" applyFill="1" applyFont="1" applyNumberFormat="1">
      <alignment readingOrder="0"/>
    </xf>
    <xf borderId="0" fillId="4" fontId="1" numFmtId="0" xfId="0" applyAlignment="1" applyFont="1">
      <alignment readingOrder="0"/>
    </xf>
    <xf borderId="0" fillId="4" fontId="1" numFmtId="0" xfId="0" applyFont="1"/>
    <xf borderId="0" fillId="4" fontId="7" numFmtId="0" xfId="0" applyFont="1"/>
    <xf borderId="0" fillId="5" fontId="1" numFmtId="167" xfId="0" applyAlignment="1" applyFill="1" applyFont="1" applyNumberFormat="1">
      <alignment readingOrder="0"/>
    </xf>
    <xf borderId="0" fillId="5" fontId="1" numFmtId="0" xfId="0" applyAlignment="1" applyFont="1">
      <alignment readingOrder="0"/>
    </xf>
    <xf borderId="0" fillId="5" fontId="1" numFmtId="0" xfId="0" applyFont="1"/>
    <xf borderId="0" fillId="5" fontId="8" numFmtId="0" xfId="0" applyFont="1"/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0" displayName="Form_Responses" name="Form_Responses" id="1">
  <tableColumns count="11">
    <tableColumn name="Timestamp" id="1"/>
    <tableColumn name="Email Address" id="2"/>
    <tableColumn name="Upload to secure NPE drive +" id="3"/>
    <tableColumn name="Resource Category" id="4"/>
    <tableColumn name="NPE Domain / Sub-topic" id="5"/>
    <tableColumn name="Content Type" id="6"/>
    <tableColumn name="Modality" id="7"/>
    <tableColumn name="Population" id="8"/>
    <tableColumn name="Source" id="9"/>
    <tableColumn name="Notes" id="10"/>
    <tableColumn name="Title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l2a4vRcVyxEALA5FtdUj2qMNhVqIQ4FI" TargetMode="External"/><Relationship Id="rId2" Type="http://schemas.openxmlformats.org/officeDocument/2006/relationships/hyperlink" Target="https://drive.google.com/open?id=1BQkL0pOcUhLXKx3GcvdrxeiM-mZiH6EI" TargetMode="External"/><Relationship Id="rId3" Type="http://schemas.openxmlformats.org/officeDocument/2006/relationships/hyperlink" Target="https://drive.google.com/open?id=1NWrOYTnfIHkhiJtrpqNN7ztR2VGE6spL" TargetMode="External"/><Relationship Id="rId4" Type="http://schemas.openxmlformats.org/officeDocument/2006/relationships/hyperlink" Target="https://drive.google.com/open?id=1wqa0CMyJXexVbc_V-sbQv-f6uTwzN9pz" TargetMode="External"/><Relationship Id="rId10" Type="http://schemas.openxmlformats.org/officeDocument/2006/relationships/drawing" Target="../drawings/drawing1.xml"/><Relationship Id="rId12" Type="http://schemas.openxmlformats.org/officeDocument/2006/relationships/table" Target="../tables/table1.xml"/><Relationship Id="rId9" Type="http://schemas.openxmlformats.org/officeDocument/2006/relationships/hyperlink" Target="https://drive.google.com/open?id=1vxLNiOqRzRsl1iv0aDuMrGj2WLe6TwCE" TargetMode="External"/><Relationship Id="rId5" Type="http://schemas.openxmlformats.org/officeDocument/2006/relationships/hyperlink" Target="https://drive.google.com/open?id=1B7O5D1c4bafvmwa04ZA4lC3aV2e90b5t" TargetMode="External"/><Relationship Id="rId6" Type="http://schemas.openxmlformats.org/officeDocument/2006/relationships/hyperlink" Target="https://drive.google.com/open?id=1u6lfb1gFzSlD-ngxoftxrXkVAbB_MhWl" TargetMode="External"/><Relationship Id="rId7" Type="http://schemas.openxmlformats.org/officeDocument/2006/relationships/hyperlink" Target="https://drive.google.com/open?id=10MeV-pmNQgaivg1Mz9ZISghDGoGxoGUj" TargetMode="External"/><Relationship Id="rId8" Type="http://schemas.openxmlformats.org/officeDocument/2006/relationships/hyperlink" Target="https://drive.google.com/open?id=12t0AdbeqZCdkp5OTEwJSWcGBFsmy0ZQc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meet.google.com/xuz-xmve-abi" TargetMode="External"/><Relationship Id="rId10" Type="http://schemas.openxmlformats.org/officeDocument/2006/relationships/hyperlink" Target="https://meet.google.com/ouw-bfai-gwx" TargetMode="External"/><Relationship Id="rId13" Type="http://schemas.openxmlformats.org/officeDocument/2006/relationships/hyperlink" Target="https://www.psychologyboard.gov.au/Registration/National-psychology-exam.aspx" TargetMode="External"/><Relationship Id="rId12" Type="http://schemas.openxmlformats.org/officeDocument/2006/relationships/hyperlink" Target="https://meet.google.com/ejf-sdya-bxv" TargetMode="External"/><Relationship Id="rId1" Type="http://schemas.openxmlformats.org/officeDocument/2006/relationships/hyperlink" Target="https://meet.google.com/wvd-oirg-soz" TargetMode="External"/><Relationship Id="rId2" Type="http://schemas.openxmlformats.org/officeDocument/2006/relationships/hyperlink" Target="https://meet.google.com/gxi-ghmc-qvp" TargetMode="External"/><Relationship Id="rId3" Type="http://schemas.openxmlformats.org/officeDocument/2006/relationships/hyperlink" Target="https://meet.google.com/dfd-cfbp-fhe" TargetMode="External"/><Relationship Id="rId4" Type="http://schemas.openxmlformats.org/officeDocument/2006/relationships/hyperlink" Target="https://meet.google.com/ndi-jakk-imz" TargetMode="External"/><Relationship Id="rId9" Type="http://schemas.openxmlformats.org/officeDocument/2006/relationships/hyperlink" Target="https://meet.google.com/tqh-nyyb-qst" TargetMode="External"/><Relationship Id="rId15" Type="http://schemas.openxmlformats.org/officeDocument/2006/relationships/hyperlink" Target="https://www.psychologyboard.gov.au/Registration/National-psychology-exam.aspx" TargetMode="External"/><Relationship Id="rId14" Type="http://schemas.openxmlformats.org/officeDocument/2006/relationships/hyperlink" Target="https://www.psychologyboard.gov.au/Registration/National-psychology-exam.aspx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meet.google.com/xpu-auef-uxn" TargetMode="External"/><Relationship Id="rId6" Type="http://schemas.openxmlformats.org/officeDocument/2006/relationships/hyperlink" Target="https://meet.google.com/kaq-jvsj-qpu" TargetMode="External"/><Relationship Id="rId7" Type="http://schemas.openxmlformats.org/officeDocument/2006/relationships/hyperlink" Target="https://meet.google.com/ybj-wizd-skv" TargetMode="External"/><Relationship Id="rId8" Type="http://schemas.openxmlformats.org/officeDocument/2006/relationships/hyperlink" Target="https://meet.google.com/cji-ebye-wuj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Xd6S2WbiaZBJzmwRA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6.38"/>
    <col customWidth="1" min="4" max="4" width="19.5"/>
    <col customWidth="1" min="5" max="5" width="14.13"/>
    <col customWidth="1" min="6" max="6" width="21.5"/>
    <col customWidth="1" min="7" max="7" width="11.88"/>
    <col customWidth="1" min="8" max="8" width="13.5"/>
    <col customWidth="1" min="9" max="9" width="11.63"/>
    <col customWidth="1" min="10" max="10" width="54.13"/>
    <col customWidth="1" min="11" max="11" width="33.63"/>
    <col customWidth="1" min="12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22.5" customHeight="1">
      <c r="A2" s="3">
        <v>46083.86098210648</v>
      </c>
      <c r="B2" s="4" t="s">
        <v>11</v>
      </c>
      <c r="C2" s="5" t="s">
        <v>12</v>
      </c>
      <c r="D2" s="4" t="s">
        <v>13</v>
      </c>
      <c r="E2" s="6"/>
      <c r="F2" s="4" t="s">
        <v>14</v>
      </c>
      <c r="G2" s="4" t="s">
        <v>15</v>
      </c>
      <c r="H2" s="4" t="s">
        <v>16</v>
      </c>
      <c r="I2" s="4" t="s">
        <v>17</v>
      </c>
      <c r="J2" s="6"/>
      <c r="K2" s="4" t="s">
        <v>18</v>
      </c>
    </row>
    <row r="3" ht="22.5" customHeight="1">
      <c r="A3" s="3">
        <v>46083.880331168984</v>
      </c>
      <c r="B3" s="4" t="s">
        <v>11</v>
      </c>
      <c r="C3" s="5" t="s">
        <v>19</v>
      </c>
      <c r="D3" s="4" t="s">
        <v>13</v>
      </c>
      <c r="E3" s="6"/>
      <c r="F3" s="4" t="s">
        <v>20</v>
      </c>
      <c r="G3" s="4"/>
      <c r="H3" s="4" t="s">
        <v>21</v>
      </c>
      <c r="I3" s="4" t="s">
        <v>22</v>
      </c>
      <c r="J3" s="4" t="s">
        <v>23</v>
      </c>
      <c r="K3" s="4" t="s">
        <v>24</v>
      </c>
    </row>
    <row r="4" ht="22.5" customHeight="1">
      <c r="A4" s="3">
        <v>46083.927548541666</v>
      </c>
      <c r="B4" s="4" t="s">
        <v>11</v>
      </c>
      <c r="C4" s="5" t="s">
        <v>25</v>
      </c>
      <c r="D4" s="4" t="s">
        <v>13</v>
      </c>
      <c r="E4" s="4"/>
      <c r="F4" s="4" t="s">
        <v>14</v>
      </c>
      <c r="G4" s="4"/>
      <c r="H4" s="4" t="s">
        <v>16</v>
      </c>
      <c r="I4" s="4" t="s">
        <v>26</v>
      </c>
      <c r="J4" s="4"/>
      <c r="K4" s="4" t="s">
        <v>27</v>
      </c>
    </row>
    <row r="5" ht="22.5" customHeight="1">
      <c r="A5" s="3">
        <v>46083.9592778588</v>
      </c>
      <c r="B5" s="4" t="s">
        <v>11</v>
      </c>
      <c r="C5" s="5" t="s">
        <v>28</v>
      </c>
      <c r="D5" s="7" t="s">
        <v>29</v>
      </c>
      <c r="E5" s="4" t="s">
        <v>30</v>
      </c>
      <c r="F5" s="4" t="s">
        <v>31</v>
      </c>
      <c r="G5" s="4"/>
      <c r="H5" s="4"/>
      <c r="I5" s="4" t="s">
        <v>26</v>
      </c>
      <c r="J5" s="4"/>
      <c r="K5" s="4" t="s">
        <v>32</v>
      </c>
    </row>
    <row r="6" ht="22.5" customHeight="1">
      <c r="A6" s="3">
        <v>46085.86131945602</v>
      </c>
      <c r="B6" s="4" t="s">
        <v>11</v>
      </c>
      <c r="C6" s="5" t="s">
        <v>33</v>
      </c>
      <c r="D6" s="4" t="s">
        <v>13</v>
      </c>
      <c r="E6" s="4"/>
      <c r="F6" s="4" t="s">
        <v>14</v>
      </c>
      <c r="G6" s="4"/>
      <c r="H6" s="4" t="s">
        <v>34</v>
      </c>
      <c r="I6" s="4"/>
      <c r="J6" s="4" t="s">
        <v>35</v>
      </c>
      <c r="K6" s="4" t="s">
        <v>36</v>
      </c>
    </row>
    <row r="7" ht="22.5" customHeight="1">
      <c r="A7" s="3">
        <v>46085.86590072917</v>
      </c>
      <c r="B7" s="4" t="s">
        <v>11</v>
      </c>
      <c r="C7" s="5" t="s">
        <v>37</v>
      </c>
      <c r="D7" s="4" t="s">
        <v>13</v>
      </c>
      <c r="E7" s="4"/>
      <c r="F7" s="4"/>
      <c r="G7" s="4" t="s">
        <v>15</v>
      </c>
      <c r="H7" s="4"/>
      <c r="I7" s="4" t="s">
        <v>38</v>
      </c>
      <c r="J7" s="4" t="s">
        <v>39</v>
      </c>
      <c r="K7" s="4" t="s">
        <v>40</v>
      </c>
    </row>
    <row r="8" ht="22.5" customHeight="1">
      <c r="A8" s="3">
        <v>46085.871046817134</v>
      </c>
      <c r="B8" s="4" t="s">
        <v>11</v>
      </c>
      <c r="C8" s="5" t="s">
        <v>41</v>
      </c>
      <c r="D8" s="4" t="s">
        <v>29</v>
      </c>
      <c r="E8" s="4" t="s">
        <v>42</v>
      </c>
      <c r="F8" s="4" t="s">
        <v>43</v>
      </c>
      <c r="G8" s="4"/>
      <c r="H8" s="4"/>
      <c r="I8" s="4"/>
      <c r="J8" s="4" t="s">
        <v>44</v>
      </c>
      <c r="K8" s="4" t="s">
        <v>45</v>
      </c>
    </row>
    <row r="9" ht="22.5" customHeight="1">
      <c r="A9" s="3">
        <v>46085.88456501157</v>
      </c>
      <c r="B9" s="4" t="s">
        <v>11</v>
      </c>
      <c r="C9" s="5" t="s">
        <v>46</v>
      </c>
      <c r="D9" s="4" t="s">
        <v>29</v>
      </c>
      <c r="E9" s="4" t="s">
        <v>47</v>
      </c>
      <c r="F9" s="4" t="s">
        <v>48</v>
      </c>
      <c r="G9" s="4"/>
      <c r="H9" s="4"/>
      <c r="I9" s="4" t="s">
        <v>26</v>
      </c>
      <c r="J9" s="4" t="s">
        <v>49</v>
      </c>
      <c r="K9" s="4" t="s">
        <v>50</v>
      </c>
    </row>
    <row r="10" ht="22.5" customHeight="1">
      <c r="A10" s="3">
        <v>46098.828884375005</v>
      </c>
      <c r="B10" s="4" t="s">
        <v>51</v>
      </c>
      <c r="C10" s="5" t="s">
        <v>52</v>
      </c>
      <c r="D10" s="4" t="s">
        <v>29</v>
      </c>
      <c r="E10" s="4" t="s">
        <v>47</v>
      </c>
      <c r="F10" s="4" t="s">
        <v>53</v>
      </c>
      <c r="G10" s="4"/>
      <c r="H10" s="4"/>
      <c r="I10" s="4" t="s">
        <v>54</v>
      </c>
      <c r="J10" s="4"/>
      <c r="K10" s="4" t="s">
        <v>55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8.88"/>
    <col customWidth="1" min="3" max="3" width="12.63"/>
    <col customWidth="1" min="4" max="4" width="10.13"/>
    <col customWidth="1" min="5" max="5" width="25.13"/>
    <col customWidth="1" min="6" max="6" width="37.63"/>
    <col customWidth="1" min="7" max="7" width="35.13"/>
    <col customWidth="1" min="8" max="8" width="18.88"/>
    <col customWidth="1" min="9" max="9" width="14.88"/>
  </cols>
  <sheetData>
    <row r="1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9</v>
      </c>
      <c r="G1" s="8" t="s">
        <v>61</v>
      </c>
      <c r="H1" s="8" t="s">
        <v>62</v>
      </c>
      <c r="I1" s="8"/>
    </row>
    <row r="2">
      <c r="A2" s="9" t="s">
        <v>63</v>
      </c>
      <c r="B2" s="9" t="s">
        <v>64</v>
      </c>
      <c r="C2" s="10">
        <v>46083.0</v>
      </c>
      <c r="D2" s="11">
        <v>0.7916666666666666</v>
      </c>
      <c r="E2" s="9" t="s">
        <v>65</v>
      </c>
      <c r="G2" s="12" t="s">
        <v>66</v>
      </c>
      <c r="H2" s="9" t="s">
        <v>67</v>
      </c>
    </row>
    <row r="3">
      <c r="A3" s="9" t="s">
        <v>63</v>
      </c>
      <c r="B3" s="9" t="s">
        <v>68</v>
      </c>
      <c r="C3" s="10">
        <v>46098.0</v>
      </c>
      <c r="D3" s="11">
        <v>0.7916666666666666</v>
      </c>
      <c r="E3" s="9" t="s">
        <v>69</v>
      </c>
      <c r="F3" s="9" t="s">
        <v>70</v>
      </c>
      <c r="G3" s="12" t="s">
        <v>71</v>
      </c>
      <c r="H3" s="9" t="s">
        <v>67</v>
      </c>
    </row>
    <row r="4">
      <c r="A4" s="9" t="s">
        <v>63</v>
      </c>
      <c r="B4" s="9" t="s">
        <v>72</v>
      </c>
      <c r="C4" s="10">
        <v>46113.0</v>
      </c>
      <c r="D4" s="11">
        <v>0.7916666666666666</v>
      </c>
      <c r="E4" s="9" t="s">
        <v>69</v>
      </c>
      <c r="G4" s="12" t="s">
        <v>73</v>
      </c>
      <c r="H4" s="9" t="s">
        <v>67</v>
      </c>
    </row>
    <row r="5">
      <c r="A5" s="9" t="s">
        <v>63</v>
      </c>
      <c r="B5" s="9" t="s">
        <v>74</v>
      </c>
      <c r="C5" s="10">
        <v>46128.0</v>
      </c>
      <c r="D5" s="11">
        <v>0.7916666666666666</v>
      </c>
      <c r="E5" s="9" t="s">
        <v>69</v>
      </c>
      <c r="G5" s="12" t="s">
        <v>75</v>
      </c>
      <c r="H5" s="9" t="s">
        <v>67</v>
      </c>
    </row>
    <row r="6">
      <c r="A6" s="9" t="s">
        <v>63</v>
      </c>
      <c r="B6" s="9" t="s">
        <v>76</v>
      </c>
      <c r="C6" s="10">
        <v>46141.0</v>
      </c>
      <c r="D6" s="11">
        <v>0.7916666666666666</v>
      </c>
      <c r="E6" s="9" t="s">
        <v>69</v>
      </c>
      <c r="G6" s="12" t="s">
        <v>77</v>
      </c>
      <c r="H6" s="9" t="s">
        <v>67</v>
      </c>
    </row>
    <row r="7">
      <c r="A7" s="9" t="s">
        <v>63</v>
      </c>
      <c r="B7" s="9" t="s">
        <v>78</v>
      </c>
      <c r="C7" s="10">
        <v>46153.0</v>
      </c>
      <c r="D7" s="11">
        <v>0.7916666666666666</v>
      </c>
      <c r="E7" s="9" t="s">
        <v>79</v>
      </c>
      <c r="G7" s="12" t="s">
        <v>80</v>
      </c>
      <c r="H7" s="9" t="s">
        <v>67</v>
      </c>
    </row>
    <row r="8">
      <c r="A8" s="9" t="s">
        <v>63</v>
      </c>
      <c r="B8" s="9" t="s">
        <v>81</v>
      </c>
      <c r="C8" s="10">
        <v>46168.0</v>
      </c>
      <c r="D8" s="11">
        <v>0.7916666666666666</v>
      </c>
      <c r="E8" s="9" t="s">
        <v>79</v>
      </c>
      <c r="G8" s="12" t="s">
        <v>82</v>
      </c>
      <c r="H8" s="9" t="s">
        <v>67</v>
      </c>
    </row>
    <row r="9">
      <c r="A9" s="9" t="s">
        <v>63</v>
      </c>
      <c r="B9" s="9" t="s">
        <v>83</v>
      </c>
      <c r="C9" s="10">
        <v>46183.0</v>
      </c>
      <c r="D9" s="11">
        <v>0.7916666666666666</v>
      </c>
      <c r="E9" s="9" t="s">
        <v>79</v>
      </c>
      <c r="G9" s="12" t="s">
        <v>84</v>
      </c>
      <c r="H9" s="9" t="s">
        <v>67</v>
      </c>
    </row>
    <row r="10">
      <c r="A10" s="9" t="s">
        <v>63</v>
      </c>
      <c r="B10" s="9" t="s">
        <v>85</v>
      </c>
      <c r="C10" s="10">
        <v>46198.0</v>
      </c>
      <c r="D10" s="11">
        <v>0.7916666666666666</v>
      </c>
      <c r="E10" s="9" t="s">
        <v>79</v>
      </c>
      <c r="G10" s="12" t="s">
        <v>86</v>
      </c>
      <c r="H10" s="9" t="s">
        <v>67</v>
      </c>
    </row>
    <row r="11">
      <c r="A11" s="9" t="s">
        <v>63</v>
      </c>
      <c r="B11" s="9" t="s">
        <v>87</v>
      </c>
      <c r="C11" s="10">
        <v>46210.0</v>
      </c>
      <c r="D11" s="11">
        <v>0.7916666666666666</v>
      </c>
      <c r="E11" s="9" t="s">
        <v>79</v>
      </c>
      <c r="G11" s="12" t="s">
        <v>88</v>
      </c>
      <c r="H11" s="9" t="s">
        <v>67</v>
      </c>
    </row>
    <row r="12">
      <c r="A12" s="9" t="s">
        <v>63</v>
      </c>
      <c r="B12" s="9" t="s">
        <v>89</v>
      </c>
      <c r="C12" s="10">
        <v>46223.0</v>
      </c>
      <c r="D12" s="11">
        <v>0.7916666666666666</v>
      </c>
      <c r="E12" s="9" t="s">
        <v>79</v>
      </c>
      <c r="G12" s="12" t="s">
        <v>90</v>
      </c>
      <c r="H12" s="9" t="s">
        <v>67</v>
      </c>
    </row>
    <row r="13">
      <c r="A13" s="9" t="s">
        <v>63</v>
      </c>
      <c r="B13" s="9" t="s">
        <v>91</v>
      </c>
      <c r="C13" s="10">
        <v>46238.0</v>
      </c>
      <c r="D13" s="11">
        <v>0.7916666666666666</v>
      </c>
      <c r="E13" s="9" t="s">
        <v>79</v>
      </c>
      <c r="G13" s="12" t="s">
        <v>92</v>
      </c>
      <c r="H13" s="9" t="s">
        <v>67</v>
      </c>
    </row>
    <row r="14">
      <c r="A14" s="9" t="s">
        <v>93</v>
      </c>
      <c r="B14" s="9" t="s">
        <v>94</v>
      </c>
      <c r="C14" s="10">
        <v>46146.0</v>
      </c>
      <c r="E14" s="9" t="s">
        <v>95</v>
      </c>
      <c r="F14" s="9" t="s">
        <v>96</v>
      </c>
      <c r="G14" s="12" t="s">
        <v>97</v>
      </c>
    </row>
    <row r="15">
      <c r="A15" s="9" t="s">
        <v>93</v>
      </c>
      <c r="B15" s="9" t="s">
        <v>98</v>
      </c>
      <c r="C15" s="10">
        <v>46237.0</v>
      </c>
      <c r="E15" s="9" t="s">
        <v>95</v>
      </c>
      <c r="F15" s="9" t="s">
        <v>99</v>
      </c>
      <c r="G15" s="12" t="s">
        <v>97</v>
      </c>
    </row>
    <row r="16">
      <c r="A16" s="9" t="s">
        <v>93</v>
      </c>
      <c r="B16" s="9" t="s">
        <v>100</v>
      </c>
      <c r="C16" s="10">
        <v>46328.0</v>
      </c>
      <c r="E16" s="9" t="s">
        <v>95</v>
      </c>
      <c r="F16" s="9" t="s">
        <v>101</v>
      </c>
      <c r="G16" s="12" t="s">
        <v>97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</hyperlinks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52.13"/>
    <col customWidth="1" min="3" max="3" width="15.38"/>
  </cols>
  <sheetData>
    <row r="1">
      <c r="A1" s="13"/>
      <c r="B1" s="13"/>
      <c r="C1" s="13"/>
    </row>
    <row r="2">
      <c r="A2" s="13"/>
      <c r="B2" s="14" t="s">
        <v>102</v>
      </c>
      <c r="C2" s="13"/>
    </row>
    <row r="3">
      <c r="A3" s="13"/>
      <c r="B3" s="15" t="s">
        <v>103</v>
      </c>
      <c r="C3" s="13"/>
    </row>
  </sheetData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5.13"/>
    <col customWidth="1" min="3" max="3" width="16.38"/>
    <col customWidth="1" min="4" max="4" width="13.88"/>
    <col customWidth="1" min="5" max="5" width="25.13"/>
    <col customWidth="1" min="6" max="6" width="20.13"/>
    <col customWidth="1" min="7" max="7" width="16.38"/>
    <col customWidth="1" min="8" max="8" width="13.88"/>
    <col customWidth="1" min="9" max="9" width="15.13"/>
    <col customWidth="1" min="10" max="12" width="27.63"/>
    <col customWidth="1" min="13" max="13" width="8.88"/>
    <col customWidth="1" hidden="1" min="14" max="14" width="0.25"/>
    <col customWidth="1" min="15" max="15" width="10.13"/>
    <col customWidth="1" min="16" max="16" width="12.63"/>
  </cols>
  <sheetData>
    <row r="1">
      <c r="A1" s="8" t="s">
        <v>0</v>
      </c>
      <c r="B1" s="8" t="s">
        <v>104</v>
      </c>
      <c r="C1" s="8" t="s">
        <v>3</v>
      </c>
      <c r="D1" s="8" t="s">
        <v>105</v>
      </c>
      <c r="E1" s="8" t="s">
        <v>106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107</v>
      </c>
      <c r="M1" s="8" t="s">
        <v>108</v>
      </c>
      <c r="N1" s="8" t="s">
        <v>109</v>
      </c>
      <c r="O1" s="8" t="s">
        <v>110</v>
      </c>
      <c r="P1" s="8" t="s">
        <v>111</v>
      </c>
    </row>
    <row r="2">
      <c r="A2" s="16">
        <v>46083.86041666667</v>
      </c>
      <c r="B2" s="17" t="s">
        <v>11</v>
      </c>
      <c r="C2" s="17" t="s">
        <v>13</v>
      </c>
      <c r="D2" s="17"/>
      <c r="E2" s="18"/>
      <c r="F2" s="17" t="s">
        <v>14</v>
      </c>
      <c r="G2" s="17" t="s">
        <v>15</v>
      </c>
      <c r="H2" s="17" t="s">
        <v>16</v>
      </c>
      <c r="I2" s="17" t="s">
        <v>17</v>
      </c>
      <c r="J2" s="18"/>
      <c r="K2" s="17" t="s">
        <v>18</v>
      </c>
      <c r="L2" s="17" t="s">
        <v>112</v>
      </c>
      <c r="M2" s="17" t="s">
        <v>113</v>
      </c>
      <c r="N2" s="17" t="s">
        <v>114</v>
      </c>
      <c r="O2" s="19" t="str">
        <f>HYPERLINK("https://drive.google.com/file/d/1l2a4vRcVyxEALA5FtdUj2qMNhVqIQ4FI/view","Open")</f>
        <v>Open</v>
      </c>
      <c r="P2" s="19" t="str">
        <f>HYPERLINK("https://drive.google.com/uc?export=download&amp;id=1l2a4vRcVyxEALA5FtdUj2qMNhVqIQ4FI","Download")</f>
        <v>Download</v>
      </c>
    </row>
    <row r="3">
      <c r="A3" s="20">
        <v>46083.87986111111</v>
      </c>
      <c r="B3" s="21" t="s">
        <v>11</v>
      </c>
      <c r="C3" s="21" t="s">
        <v>13</v>
      </c>
      <c r="D3" s="21"/>
      <c r="E3" s="22"/>
      <c r="F3" s="21" t="s">
        <v>20</v>
      </c>
      <c r="G3" s="21"/>
      <c r="H3" s="21" t="s">
        <v>21</v>
      </c>
      <c r="I3" s="21" t="s">
        <v>22</v>
      </c>
      <c r="J3" s="21" t="s">
        <v>23</v>
      </c>
      <c r="K3" s="21" t="s">
        <v>24</v>
      </c>
      <c r="L3" s="21" t="s">
        <v>115</v>
      </c>
      <c r="M3" s="21" t="s">
        <v>113</v>
      </c>
      <c r="N3" s="21" t="s">
        <v>116</v>
      </c>
      <c r="O3" s="23" t="str">
        <f>HYPERLINK("https://drive.google.com/file/d/1BQkL0pOcUhLXKx3GcvdrxeiM-mZiH6EI/view","Open")</f>
        <v>Open</v>
      </c>
      <c r="P3" s="23" t="str">
        <f>HYPERLINK("https://drive.google.com/uc?export=download&amp;id=1BQkL0pOcUhLXKx3GcvdrxeiM-mZiH6EI","Download")</f>
        <v>Download</v>
      </c>
    </row>
    <row r="4">
      <c r="A4" s="16">
        <v>46083.927083333336</v>
      </c>
      <c r="B4" s="17" t="s">
        <v>11</v>
      </c>
      <c r="C4" s="17" t="s">
        <v>13</v>
      </c>
      <c r="D4" s="17"/>
      <c r="E4" s="17"/>
      <c r="F4" s="17" t="s">
        <v>14</v>
      </c>
      <c r="G4" s="18"/>
      <c r="H4" s="17" t="s">
        <v>16</v>
      </c>
      <c r="I4" s="17" t="s">
        <v>26</v>
      </c>
      <c r="J4" s="18"/>
      <c r="K4" s="17" t="s">
        <v>27</v>
      </c>
      <c r="L4" s="17" t="s">
        <v>117</v>
      </c>
      <c r="M4" s="17" t="s">
        <v>113</v>
      </c>
      <c r="N4" s="17" t="s">
        <v>118</v>
      </c>
      <c r="O4" s="19" t="str">
        <f>HYPERLINK("https://drive.google.com/file/d/1NWrOYTnfIHkhiJtrpqNN7ztR2VGE6spL/view","Open")</f>
        <v>Open</v>
      </c>
      <c r="P4" s="19" t="str">
        <f>HYPERLINK("https://drive.google.com/uc?export=download&amp;id=1NWrOYTnfIHkhiJtrpqNN7ztR2VGE6spL","Download")</f>
        <v>Download</v>
      </c>
    </row>
    <row r="5">
      <c r="A5" s="20">
        <v>46083.959027777775</v>
      </c>
      <c r="B5" s="21" t="s">
        <v>11</v>
      </c>
      <c r="C5" s="21" t="s">
        <v>29</v>
      </c>
      <c r="D5" s="24" t="s">
        <v>69</v>
      </c>
      <c r="E5" s="21" t="s">
        <v>119</v>
      </c>
      <c r="F5" s="21" t="s">
        <v>31</v>
      </c>
      <c r="G5" s="21"/>
      <c r="H5" s="21"/>
      <c r="I5" s="21" t="s">
        <v>26</v>
      </c>
      <c r="J5" s="21"/>
      <c r="K5" s="21" t="s">
        <v>32</v>
      </c>
      <c r="L5" s="21" t="s">
        <v>120</v>
      </c>
      <c r="M5" s="21" t="s">
        <v>113</v>
      </c>
      <c r="N5" s="21" t="s">
        <v>121</v>
      </c>
      <c r="O5" s="23" t="str">
        <f>HYPERLINK("https://drive.google.com/file/d/1wqa0CMyJXexVbc_V-sbQv-f6uTwzN9pz/view","Open")</f>
        <v>Open</v>
      </c>
      <c r="P5" s="23" t="str">
        <f>HYPERLINK("https://drive.google.com/uc?export=download&amp;id=1wqa0CMyJXexVbc_V-sbQv-f6uTwzN9pz","Download")</f>
        <v>Download</v>
      </c>
    </row>
    <row r="6">
      <c r="A6" s="16">
        <v>46085.86111111111</v>
      </c>
      <c r="B6" s="17" t="s">
        <v>11</v>
      </c>
      <c r="C6" s="17" t="s">
        <v>13</v>
      </c>
      <c r="D6" s="18"/>
      <c r="E6" s="18"/>
      <c r="F6" s="17" t="s">
        <v>14</v>
      </c>
      <c r="G6" s="18"/>
      <c r="H6" s="17" t="s">
        <v>34</v>
      </c>
      <c r="I6" s="17"/>
      <c r="J6" s="17" t="s">
        <v>35</v>
      </c>
      <c r="K6" s="17" t="s">
        <v>36</v>
      </c>
      <c r="L6" s="17" t="s">
        <v>122</v>
      </c>
      <c r="M6" s="17" t="s">
        <v>113</v>
      </c>
      <c r="N6" s="17" t="s">
        <v>123</v>
      </c>
      <c r="O6" s="19" t="str">
        <f>HYPERLINK("https://drive.google.com/file/d/1B7O5D1c4bafvmwa04ZA4lC3aV2e90b5t/view","Open")</f>
        <v>Open</v>
      </c>
      <c r="P6" s="19" t="str">
        <f>HYPERLINK("https://drive.google.com/uc?export=download&amp;id=1B7O5D1c4bafvmwa04ZA4lC3aV2e90b5t","Download")</f>
        <v>Download</v>
      </c>
    </row>
    <row r="7">
      <c r="A7" s="20">
        <v>46085.865277777775</v>
      </c>
      <c r="B7" s="21" t="s">
        <v>11</v>
      </c>
      <c r="C7" s="21" t="s">
        <v>13</v>
      </c>
      <c r="D7" s="22"/>
      <c r="E7" s="22"/>
      <c r="F7" s="22"/>
      <c r="G7" s="21" t="s">
        <v>15</v>
      </c>
      <c r="H7" s="22"/>
      <c r="I7" s="21" t="s">
        <v>38</v>
      </c>
      <c r="J7" s="21" t="s">
        <v>39</v>
      </c>
      <c r="K7" s="21" t="s">
        <v>40</v>
      </c>
      <c r="L7" s="21" t="s">
        <v>124</v>
      </c>
      <c r="M7" s="21" t="s">
        <v>113</v>
      </c>
      <c r="N7" s="21" t="s">
        <v>125</v>
      </c>
      <c r="O7" s="23" t="str">
        <f>HYPERLINK("https://drive.google.com/file/d/1u6lfb1gFzSlD-ngxoftxrXkVAbB_MhWl/view","Open")</f>
        <v>Open</v>
      </c>
      <c r="P7" s="23" t="str">
        <f>HYPERLINK("https://drive.google.com/uc?export=download&amp;id=1u6lfb1gFzSlD-ngxoftxrXkVAbB_MhWl","Download")</f>
        <v>Download</v>
      </c>
    </row>
    <row r="8">
      <c r="A8" s="16">
        <v>46085.870833333334</v>
      </c>
      <c r="B8" s="17" t="s">
        <v>11</v>
      </c>
      <c r="C8" s="17" t="s">
        <v>29</v>
      </c>
      <c r="D8" s="25" t="s">
        <v>126</v>
      </c>
      <c r="E8" s="17" t="s">
        <v>127</v>
      </c>
      <c r="F8" s="17" t="s">
        <v>43</v>
      </c>
      <c r="G8" s="18"/>
      <c r="H8" s="18"/>
      <c r="I8" s="18"/>
      <c r="J8" s="17" t="s">
        <v>44</v>
      </c>
      <c r="K8" s="17" t="s">
        <v>45</v>
      </c>
      <c r="L8" s="17" t="s">
        <v>128</v>
      </c>
      <c r="M8" s="17" t="s">
        <v>113</v>
      </c>
      <c r="N8" s="17" t="s">
        <v>129</v>
      </c>
      <c r="O8" s="19" t="str">
        <f>HYPERLINK("https://drive.google.com/file/d/10MeV-pmNQgaivg1Mz9ZISghDGoGxoGUj/view","Open")</f>
        <v>Open</v>
      </c>
      <c r="P8" s="19" t="str">
        <f>HYPERLINK("https://drive.google.com/uc?export=download&amp;id=10MeV-pmNQgaivg1Mz9ZISghDGoGxoGUj","Download")</f>
        <v>Download</v>
      </c>
    </row>
    <row r="9">
      <c r="A9" s="20">
        <v>46085.88402777778</v>
      </c>
      <c r="B9" s="21" t="s">
        <v>11</v>
      </c>
      <c r="C9" s="21" t="s">
        <v>29</v>
      </c>
      <c r="D9" s="24" t="s">
        <v>69</v>
      </c>
      <c r="E9" s="21" t="s">
        <v>130</v>
      </c>
      <c r="F9" s="21" t="s">
        <v>48</v>
      </c>
      <c r="G9" s="22"/>
      <c r="H9" s="22"/>
      <c r="I9" s="21" t="s">
        <v>26</v>
      </c>
      <c r="J9" s="21" t="s">
        <v>49</v>
      </c>
      <c r="K9" s="21" t="s">
        <v>50</v>
      </c>
      <c r="L9" s="21" t="s">
        <v>131</v>
      </c>
      <c r="M9" s="21" t="s">
        <v>132</v>
      </c>
      <c r="N9" s="21" t="s">
        <v>133</v>
      </c>
      <c r="O9" s="23" t="str">
        <f>HYPERLINK("https://drive.google.com/file/d/12t0AdbeqZCdkp5OTEwJSWcGBFsmy0ZQc/view","Open")</f>
        <v>Open</v>
      </c>
      <c r="P9" s="23" t="str">
        <f>HYPERLINK("https://drive.google.com/uc?export=download&amp;id=12t0AdbeqZCdkp5OTEwJSWcGBFsmy0ZQc","Download")</f>
        <v>Download</v>
      </c>
    </row>
    <row r="10">
      <c r="A10" s="16">
        <v>46098.82847222222</v>
      </c>
      <c r="B10" s="17" t="s">
        <v>51</v>
      </c>
      <c r="C10" s="17" t="s">
        <v>29</v>
      </c>
      <c r="D10" s="24" t="s">
        <v>69</v>
      </c>
      <c r="E10" s="17" t="s">
        <v>130</v>
      </c>
      <c r="F10" s="17" t="s">
        <v>53</v>
      </c>
      <c r="G10" s="18"/>
      <c r="H10" s="18"/>
      <c r="I10" s="17" t="s">
        <v>54</v>
      </c>
      <c r="J10" s="18"/>
      <c r="K10" s="17" t="s">
        <v>55</v>
      </c>
      <c r="L10" s="17" t="s">
        <v>134</v>
      </c>
      <c r="M10" s="17" t="s">
        <v>113</v>
      </c>
      <c r="N10" s="17" t="s">
        <v>135</v>
      </c>
      <c r="O10" s="19" t="str">
        <f>HYPERLINK("https://drive.google.com/file/d/1vxLNiOqRzRsl1iv0aDuMrGj2WLe6TwCE/view","Open")</f>
        <v>Open</v>
      </c>
      <c r="P10" s="19" t="str">
        <f>HYPERLINK("https://drive.google.com/uc?export=download&amp;id=1vxLNiOqRzRsl1iv0aDuMrGj2WLe6TwCE","Download")</f>
        <v>Download</v>
      </c>
    </row>
  </sheetData>
  <autoFilter ref="$A$1:$N$10"/>
  <drawing r:id="rId1"/>
</worksheet>
</file>